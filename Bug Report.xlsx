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d32bae9aaf26bfd/Desktop/QA testing/New folder/"/>
    </mc:Choice>
  </mc:AlternateContent>
  <xr:revisionPtr revIDLastSave="23" documentId="8_{DAE6C287-580E-460E-AB09-2887B945B467}" xr6:coauthVersionLast="47" xr6:coauthVersionMax="47" xr10:uidLastSave="{CF30B4E6-BA5A-46BE-BFE7-3C3081452C7E}"/>
  <bookViews>
    <workbookView xWindow="-108" yWindow="-108" windowWidth="23256" windowHeight="12456" tabRatio="500" xr2:uid="{00000000-000D-0000-FFFF-FFFF00000000}"/>
  </bookViews>
  <sheets>
    <sheet name="Bug Report" sheetId="1" r:id="rId1"/>
    <sheet name="Bug Summary" sheetId="2" r:id="rId2"/>
  </sheets>
  <definedNames>
    <definedName name="_xlnm._FilterDatabase" localSheetId="0" hidden="1">'Bug Report'!$A$1:$O$8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<sst xmlns="http://schemas.openxmlformats.org/spreadsheetml/2006/main" count="104" uniqueCount="72">
  <si>
    <t>Bug ID</t>
  </si>
  <si>
    <t>Module</t>
  </si>
  <si>
    <t>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</si>
  <si>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</si>
  <si>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</si>
  <si>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</si>
  <si>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</si>
  <si>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</si>
  <si>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</si>
  <si>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</si>
  <si>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Assigned To</t>
  </si>
  <si>
    <t>Reported By</t>
  </si>
  <si>
    <t>Environment</t>
  </si>
  <si>
    <t>Date Reported</t>
  </si>
  <si>
    <t>BUG_001</t>
  </si>
  <si>
    <t>High</t>
  </si>
  <si>
    <t>Open</t>
  </si>
  <si>
    <t>Dev Team - Tichi</t>
  </si>
  <si>
    <t>QA Intern</t>
  </si>
  <si>
    <t>Windows 11 / Chrome / Staging</t>
  </si>
  <si>
    <t>BUG_002</t>
  </si>
  <si>
    <t>Signup</t>
  </si>
  <si>
    <t>Confusing email validation error message</t>
  </si>
  <si>
    <t>When an email address containing multiple trailing dots is entered, the browser displays a confusing native validation message instead of a clear application-level error.</t>
  </si>
  <si>
    <t>1. Navigate to Signup screen
2. Enter email 'rithikkarithik0305@gmail.com.................'
3. Click 'Sign Up'</t>
  </si>
  <si>
    <t>Application should display 'Invalid Email Address'.</t>
  </si>
  <si>
    <t>Browser shows '":" is used at a wrong position' which is incorrect and confusing.</t>
  </si>
  <si>
    <t>Medium</t>
  </si>
  <si>
    <t>BUG_003</t>
  </si>
  <si>
    <t>First Name field accepts unlimited characters</t>
  </si>
  <si>
    <t>The First Name field on the Signup form does not enforce any maximum character limit, allowing unlimited-length input.</t>
  </si>
  <si>
    <t>1. Navigate to Signup screen
2. Enter an extremely long string (500+ characters) in First Name field
3. Observe field behavior</t>
  </si>
  <si>
    <t>Limit should exist (e.g. 50 characters).</t>
  </si>
  <si>
    <t>First Name accepts unlimited characters.</t>
  </si>
  <si>
    <t>03-Jun-2026</t>
  </si>
  <si>
    <t>BUG_004</t>
  </si>
  <si>
    <t>Last Name field accepts unlimited characters</t>
  </si>
  <si>
    <t>The Last Name field on the Signup form does not enforce any maximum character limit, allowing unlimited-length input.</t>
  </si>
  <si>
    <t>1. Navigate to Signup screen
2. Enter an extremely long string (500+ characters) in Last Name field
3. Observe field behavior</t>
  </si>
  <si>
    <t>Maximum character limit should be enforced.</t>
  </si>
  <si>
    <t>Last Name accepts unlimited characters.</t>
  </si>
  <si>
    <t>BUG_005</t>
  </si>
  <si>
    <t>Password helper text does not update after entering a valid password</t>
  </si>
  <si>
    <t>The helper text 'Password is required' below the Password field remains visible even after the user has entered a valid password.</t>
  </si>
  <si>
    <t>1. Navigate to Signup screen
2. Click on Password field
3. Type a valid password
4. Observe helper text below field</t>
  </si>
  <si>
    <t>Helper text should update/disappear once a valid password is entered.</t>
  </si>
  <si>
    <t>Password helper message remains 'Password is required' even after typing a password.</t>
  </si>
  <si>
    <t>BUG_006</t>
  </si>
  <si>
    <t>Forgot Password</t>
  </si>
  <si>
    <t>Password reset link does not expire</t>
  </si>
  <si>
    <t>The password reset link remains valid and usable even after 48+ hours, posing a security risk.</t>
  </si>
  <si>
    <t>1. Request a password reset link
2. Wait 48+ hours
3. Click the reset link</t>
  </si>
  <si>
    <t>Reset link should expire after a defined time window (e.g. 30 minutes).</t>
  </si>
  <si>
    <t>Reset link remains active and usable indefinitely.</t>
  </si>
  <si>
    <t>08-Jun-2026</t>
  </si>
  <si>
    <t>Low</t>
  </si>
  <si>
    <t>Delete Account</t>
  </si>
  <si>
    <t>Account deletion confirmation email not received</t>
  </si>
  <si>
    <t>After successfully deleting an account, the confirmation email notifying the user of the deletion is not received.</t>
  </si>
  <si>
    <t>1. Navigate to Account Settings
2. Complete the account deletion flow
3. Check inbox for confirmation email</t>
  </si>
  <si>
    <t>A confirmation email should be sent after account deletion.</t>
  </si>
  <si>
    <t>No confirmation email is received.</t>
  </si>
  <si>
    <t>Metric</t>
  </si>
  <si>
    <t>Value</t>
  </si>
  <si>
    <t>Total Bugs Logged</t>
  </si>
  <si>
    <t>Critical Severity</t>
  </si>
  <si>
    <t>High Severity</t>
  </si>
  <si>
    <t>Major Severity</t>
  </si>
  <si>
    <t>Medium Severity</t>
  </si>
  <si>
    <t>Low Severity</t>
  </si>
  <si>
    <t>Open Bugs</t>
  </si>
  <si>
    <t>Closed 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</si>
</sst>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/>
    <xf numFmtId="15" fontId="2" fillId="3" borderId="1" xfId="0" applyNumberFormat="1" applyFont="1" applyFill="1" applyBorder="1" applyAlignment="1">
      <alignment horizontal="left" vertical="top" wrapText="1"/>
    </xf>
    <xf numFmtId="15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15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FFD9A0"/>
        </patternFill>
      </fill>
    </dxf>
    <dxf>
      <fill>
        <patternFill>
          <bgColor rgb="FFFFC7CE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99"/>
      <rgbColor rgb="FFCC99FF"/>
      <rgbColor rgb="FFFFD9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zoomScaleNormal="100" workbookViewId="0">
      <pane ySplit="1" topLeftCell="A2" activePane="bottomLeft" state="frozen"/>
      <selection pane="bottomLeft" activeCell="A7" sqref="A7"/>
    </sheetView>
  </sheetViews>
  <sheetFormatPr defaultColWidth="8.6640625" defaultRowHeight="14.4" x14ac:dyDescent="0.3"/>
  <cols>
    <col min="1" max="1" width="10" customWidth="1"/>
    <col min="2" max="2" width="14" customWidth="1"/>
    <col min="3" max="3" width="26" customWidth="1"/>
    <col min="4" max="5" width="34" customWidth="1"/>
    <col min="6" max="6" width="26" customWidth="1"/>
    <col min="7" max="7" width="35.5546875" customWidth="1"/>
    <col min="8" max="10" width="10" customWidth="1"/>
    <col min="11" max="12" width="14" customWidth="1"/>
    <col min="13" max="13" width="27.21875" customWidth="1"/>
    <col min="14" max="14" width="13" customWidth="1"/>
    <col min="15" max="15" width="18" customWidth="1"/>
    <col min="16" max="16" width="28.88671875" customWidth="1"/>
  </cols>
  <sheetData>
    <row r="1" spans="1:15" s="5" customFormat="1" ht="52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/>
    </row>
    <row r="2" spans="1:15" ht="69.75" customHeight="1" x14ac:dyDescent="0.3">
      <c r="A2" s="3" t="s">
        <v>14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27</v>
      </c>
      <c r="J2" s="3" t="s">
        <v>16</v>
      </c>
      <c r="K2" s="3" t="s">
        <v>17</v>
      </c>
      <c r="L2" s="3" t="s">
        <v>18</v>
      </c>
      <c r="M2" s="3" t="s">
        <v>19</v>
      </c>
      <c r="N2" s="7">
        <v>46176</v>
      </c>
      <c r="O2" s="3"/>
    </row>
    <row r="3" spans="1:15" ht="69.75" customHeight="1" x14ac:dyDescent="0.3">
      <c r="A3" s="2" t="s">
        <v>20</v>
      </c>
      <c r="B3" s="2" t="s">
        <v>21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27</v>
      </c>
      <c r="I3" s="2" t="s">
        <v>27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34</v>
      </c>
      <c r="O3" s="2"/>
    </row>
    <row r="4" spans="1:15" ht="69.75" customHeight="1" x14ac:dyDescent="0.3">
      <c r="A4" s="3" t="s">
        <v>28</v>
      </c>
      <c r="B4" s="3" t="s">
        <v>21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27</v>
      </c>
      <c r="I4" s="3" t="s">
        <v>27</v>
      </c>
      <c r="J4" s="3" t="s">
        <v>16</v>
      </c>
      <c r="K4" s="3" t="s">
        <v>17</v>
      </c>
      <c r="L4" s="3" t="s">
        <v>18</v>
      </c>
      <c r="M4" s="3" t="s">
        <v>19</v>
      </c>
      <c r="N4" s="7">
        <v>46176</v>
      </c>
      <c r="O4" s="3"/>
    </row>
    <row r="5" spans="1:15" ht="69.75" customHeight="1" x14ac:dyDescent="0.3">
      <c r="A5" s="2" t="s">
        <v>35</v>
      </c>
      <c r="B5" s="2" t="s">
        <v>21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27</v>
      </c>
      <c r="I5" s="2" t="s">
        <v>27</v>
      </c>
      <c r="J5" s="2" t="s">
        <v>16</v>
      </c>
      <c r="K5" s="2" t="s">
        <v>17</v>
      </c>
      <c r="L5" s="2" t="s">
        <v>18</v>
      </c>
      <c r="M5" s="2" t="s">
        <v>19</v>
      </c>
      <c r="N5" s="6">
        <v>46176</v>
      </c>
      <c r="O5" s="2"/>
    </row>
    <row r="6" spans="1:15" ht="69.75" customHeight="1" x14ac:dyDescent="0.3">
      <c r="A6" s="3" t="s">
        <v>41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15</v>
      </c>
      <c r="I6" s="3" t="s">
        <v>27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54</v>
      </c>
      <c r="O6" s="3"/>
    </row>
    <row r="7" spans="1:15" ht="69.75" customHeight="1" x14ac:dyDescent="0.3">
      <c r="A7" s="3" t="s">
        <v>47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3" t="s">
        <v>55</v>
      </c>
      <c r="I7" s="3" t="s">
        <v>55</v>
      </c>
      <c r="J7" s="3" t="s">
        <v>16</v>
      </c>
      <c r="K7" s="3" t="s">
        <v>17</v>
      </c>
      <c r="L7" s="3" t="s">
        <v>18</v>
      </c>
      <c r="M7" s="3" t="s">
        <v>19</v>
      </c>
      <c r="N7" s="7">
        <v>46175</v>
      </c>
      <c r="O7" s="3"/>
    </row>
    <row r="8" spans="1:15" ht="69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2"/>
    </row>
  </sheetData>
  <autoFilter ref="A1:O8" xr:uid="{00000000-0009-0000-0000-000000000000}"/>
  <conditionalFormatting sqref="H2:H8">
    <cfRule type="cellIs" dxfId="14" priority="2" operator="equal">
      <formula>"Critical"</formula>
    </cfRule>
    <cfRule type="cellIs" dxfId="13" priority="3" operator="equal">
      <formula>"High"</formula>
    </cfRule>
    <cfRule type="cellIs" dxfId="12" priority="4" operator="equal">
      <formula>"Major"</formula>
    </cfRule>
    <cfRule type="cellIs" dxfId="11" priority="5" operator="equal">
      <formula>"Medium"</formula>
    </cfRule>
    <cfRule type="cellIs" dxfId="10" priority="6" operator="equal">
      <formula>"Minor"</formula>
    </cfRule>
    <cfRule type="cellIs" dxfId="9" priority="7" operator="equal">
      <formula>"Low"</formula>
    </cfRule>
  </conditionalFormatting>
  <conditionalFormatting sqref="J2:J8">
    <cfRule type="cellIs" dxfId="8" priority="8" operator="equal">
      <formula>"Pass"</formula>
    </cfRule>
    <cfRule type="cellIs" dxfId="7" priority="9" operator="equal">
      <formula>"Passed"</formula>
    </cfRule>
    <cfRule type="cellIs" dxfId="6" priority="10" operator="equal">
      <formula>"Fail"</formula>
    </cfRule>
    <cfRule type="cellIs" dxfId="5" priority="11" operator="equal">
      <formula>"Failed"</formula>
    </cfRule>
    <cfRule type="cellIs" dxfId="4" priority="12" operator="equal">
      <formula>"Blocked"</formula>
    </cfRule>
    <cfRule type="cellIs" dxfId="3" priority="13" operator="equal">
      <formula>"Not Executed"</formula>
    </cfRule>
    <cfRule type="cellIs" dxfId="2" priority="14" operator="equal">
      <formula>"Open"</formula>
    </cfRule>
    <cfRule type="cellIs" dxfId="1" priority="15" operator="equal">
      <formula>"Closed"</formula>
    </cfRule>
    <cfRule type="cellIs" dxfId="0" priority="16" operator="equal">
      <formula>"Fixed"</formula>
    </cfRule>
  </conditionalFormatting>
  <dataValidations count="3">
    <dataValidation type="list" allowBlank="1" sqref="H2:H8" xr:uid="{00000000-0002-0000-0000-000000000000}">
      <formula1>"Critical,High,Major,Medium,Minor,Low"</formula1>
      <formula2>0</formula2>
    </dataValidation>
    <dataValidation type="list" allowBlank="1" sqref="I2:I8" xr:uid="{00000000-0002-0000-0000-000001000000}">
      <formula1>"High,Medium,Low"</formula1>
      <formula2>0</formula2>
    </dataValidation>
    <dataValidation type="list" allowBlank="1" sqref="J2:J8" xr:uid="{00000000-0002-0000-0000-000002000000}">
      <formula1>"Open,In Progress,Fixed,Retest,Closed,Reopened"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4" customWidth="1"/>
  </cols>
  <sheetData>
    <row r="1" spans="1:2" ht="27.75" customHeight="1" x14ac:dyDescent="0.3">
      <c r="A1" s="1" t="s">
        <v>62</v>
      </c>
      <c r="B1" s="1" t="s">
        <v>63</v>
      </c>
    </row>
    <row r="2" spans="1:2" x14ac:dyDescent="0.3">
      <c r="A2" s="2" t="s">
        <v>64</v>
      </c>
      <c r="B2" s="2">
        <f>COUNTA('Bug Report'!A2:A8)</f>
        <v>6</v>
      </c>
    </row>
    <row r="3" spans="1:2" x14ac:dyDescent="0.3">
      <c r="A3" s="3" t="s">
        <v>65</v>
      </c>
      <c r="B3" s="3">
        <f>COUNTIF('Bug Report'!H2:H8,"Critical")</f>
        <v>0</v>
      </c>
    </row>
    <row r="4" spans="1:2" x14ac:dyDescent="0.3">
      <c r="A4" s="2" t="s">
        <v>66</v>
      </c>
      <c r="B4" s="2">
        <f>COUNTIF('Bug Report'!H2:H8,"High")</f>
        <v>1</v>
      </c>
    </row>
    <row r="5" spans="1:2" x14ac:dyDescent="0.3">
      <c r="A5" s="3" t="s">
        <v>67</v>
      </c>
      <c r="B5" s="3">
        <f>COUNTIF('Bug Report'!H2:H8,"Major")</f>
        <v>0</v>
      </c>
    </row>
    <row r="6" spans="1:2" x14ac:dyDescent="0.3">
      <c r="A6" s="2" t="s">
        <v>68</v>
      </c>
      <c r="B6" s="2">
        <f>COUNTIF('Bug Report'!H2:H8,"Medium")</f>
        <v>4</v>
      </c>
    </row>
    <row r="7" spans="1:2" x14ac:dyDescent="0.3">
      <c r="A7" s="3" t="s">
        <v>69</v>
      </c>
      <c r="B7" s="3">
        <f>COUNTIF('Bug Report'!H2:H8,"Low")</f>
        <v>1</v>
      </c>
    </row>
    <row r="8" spans="1:2" x14ac:dyDescent="0.3">
      <c r="A8" s="2" t="s">
        <v>70</v>
      </c>
      <c r="B8" s="2">
        <f>COUNTIF('Bug Report'!J2:J8,"Open")</f>
        <v>6</v>
      </c>
    </row>
    <row r="9" spans="1:2" x14ac:dyDescent="0.3">
      <c r="A9" s="3" t="s">
        <v>71</v>
      </c>
      <c r="B9" s="3">
        <f>COUNTIF('Bug Report'!J2:J8,"Closed")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Bug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Rithikka A</cp:lastModifiedBy>
  <cp:revision>0</cp:revision>
  <dcterms:created xsi:type="dcterms:W3CDTF">2026-07-02T04:01:20Z</dcterms:created>
  <dcterms:modified xsi:type="dcterms:W3CDTF">2026-07-03T04:24:41Z</dcterms:modified>
  <dc:language>en-US</dc:language>
</cp:coreProperties>
</file>